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laire/Downloads/"/>
    </mc:Choice>
  </mc:AlternateContent>
  <xr:revisionPtr revIDLastSave="0" documentId="8_{DE949265-965A-0F47-B82B-7A238195CE0D}" xr6:coauthVersionLast="47" xr6:coauthVersionMax="47" xr10:uidLastSave="{00000000-0000-0000-0000-000000000000}"/>
  <bookViews>
    <workbookView xWindow="0" yWindow="1020" windowWidth="34200" windowHeight="19520" xr2:uid="{7B906563-EE58-B947-ACDF-4337A8B5E0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C3" i="1" l="1"/>
  <c r="S4" i="1"/>
  <c r="N4" i="1"/>
  <c r="AC20" i="1"/>
  <c r="E25" i="1"/>
  <c r="E26" i="1"/>
  <c r="E27" i="1"/>
  <c r="E28" i="1"/>
  <c r="D28" i="1"/>
  <c r="D27" i="1"/>
  <c r="D26" i="1"/>
  <c r="D25" i="1"/>
  <c r="Y8" i="1"/>
  <c r="Y13" i="1"/>
  <c r="Y18" i="1"/>
  <c r="Z3" i="1"/>
  <c r="AA3" i="1" s="1"/>
  <c r="AB3" i="1" s="1"/>
  <c r="Y3" i="1"/>
  <c r="T4" i="1"/>
  <c r="U20" i="1"/>
  <c r="U18" i="1"/>
  <c r="T18" i="1"/>
  <c r="U17" i="1"/>
  <c r="T15" i="1"/>
  <c r="Y15" i="1" s="1"/>
  <c r="T14" i="1"/>
  <c r="T13" i="1"/>
  <c r="U12" i="1"/>
  <c r="U10" i="1"/>
  <c r="U8" i="1"/>
  <c r="T8" i="1"/>
  <c r="U7" i="1"/>
  <c r="Z7" i="1" s="1"/>
  <c r="T5" i="1"/>
  <c r="W4" i="1"/>
  <c r="V4" i="1"/>
  <c r="U4" i="1"/>
  <c r="U3" i="1"/>
  <c r="V3" i="1" s="1"/>
  <c r="W3" i="1" s="1"/>
  <c r="T3" i="1"/>
  <c r="P7" i="1"/>
  <c r="R15" i="1"/>
  <c r="P20" i="1"/>
  <c r="Z20" i="1" s="1"/>
  <c r="O20" i="1"/>
  <c r="Y20" i="1" s="1"/>
  <c r="O19" i="1"/>
  <c r="Y19" i="1" s="1"/>
  <c r="O18" i="1"/>
  <c r="O17" i="1"/>
  <c r="O16" i="1"/>
  <c r="O15" i="1"/>
  <c r="O14" i="1"/>
  <c r="Y14" i="1" s="1"/>
  <c r="O13" i="1"/>
  <c r="O12" i="1"/>
  <c r="Y12" i="1" s="1"/>
  <c r="O11" i="1"/>
  <c r="Y11" i="1" s="1"/>
  <c r="O10" i="1"/>
  <c r="O25" i="1" s="1"/>
  <c r="O9" i="1"/>
  <c r="O8" i="1"/>
  <c r="O7" i="1"/>
  <c r="O27" i="1" s="1"/>
  <c r="O6" i="1"/>
  <c r="O5" i="1"/>
  <c r="O4" i="1"/>
  <c r="Y4" i="1" s="1"/>
  <c r="X4" i="1"/>
  <c r="O3" i="1"/>
  <c r="P3" i="1" s="1"/>
  <c r="Q3" i="1" s="1"/>
  <c r="R3" i="1" s="1"/>
  <c r="J20" i="1"/>
  <c r="T20" i="1" s="1"/>
  <c r="J19" i="1"/>
  <c r="T19" i="1" s="1"/>
  <c r="J18" i="1"/>
  <c r="J17" i="1"/>
  <c r="T17" i="1" s="1"/>
  <c r="J16" i="1"/>
  <c r="T16" i="1" s="1"/>
  <c r="Y16" i="1" s="1"/>
  <c r="J15" i="1"/>
  <c r="J14" i="1"/>
  <c r="J13" i="1"/>
  <c r="J12" i="1"/>
  <c r="T12" i="1" s="1"/>
  <c r="J11" i="1"/>
  <c r="T11" i="1" s="1"/>
  <c r="J10" i="1"/>
  <c r="T10" i="1" s="1"/>
  <c r="J9" i="1"/>
  <c r="J26" i="1" s="1"/>
  <c r="J8" i="1"/>
  <c r="J7" i="1"/>
  <c r="T7" i="1" s="1"/>
  <c r="J6" i="1"/>
  <c r="J28" i="1" s="1"/>
  <c r="J5" i="1"/>
  <c r="J25" i="1" s="1"/>
  <c r="I5" i="1"/>
  <c r="S5" i="1" s="1"/>
  <c r="I6" i="1"/>
  <c r="I25" i="1" s="1"/>
  <c r="I7" i="1"/>
  <c r="S7" i="1" s="1"/>
  <c r="I8" i="1"/>
  <c r="S8" i="1" s="1"/>
  <c r="I9" i="1"/>
  <c r="S9" i="1" s="1"/>
  <c r="I10" i="1"/>
  <c r="S10" i="1" s="1"/>
  <c r="I11" i="1"/>
  <c r="S11" i="1" s="1"/>
  <c r="I12" i="1"/>
  <c r="S12" i="1" s="1"/>
  <c r="I13" i="1"/>
  <c r="S13" i="1" s="1"/>
  <c r="I14" i="1"/>
  <c r="S14" i="1" s="1"/>
  <c r="I15" i="1"/>
  <c r="S15" i="1" s="1"/>
  <c r="I16" i="1"/>
  <c r="S16" i="1" s="1"/>
  <c r="I17" i="1"/>
  <c r="S17" i="1" s="1"/>
  <c r="I18" i="1"/>
  <c r="S18" i="1" s="1"/>
  <c r="I19" i="1"/>
  <c r="S19" i="1" s="1"/>
  <c r="I20" i="1"/>
  <c r="S20" i="1" s="1"/>
  <c r="J3" i="1"/>
  <c r="K3" i="1" s="1"/>
  <c r="L3" i="1" s="1"/>
  <c r="M3" i="1" s="1"/>
  <c r="G5" i="1"/>
  <c r="H5" i="1" s="1"/>
  <c r="G6" i="1"/>
  <c r="H6" i="1" s="1"/>
  <c r="G7" i="1"/>
  <c r="H7" i="1" s="1"/>
  <c r="G8" i="1"/>
  <c r="H8" i="1" s="1"/>
  <c r="G9" i="1"/>
  <c r="H9" i="1" s="1"/>
  <c r="G10" i="1"/>
  <c r="H10" i="1" s="1"/>
  <c r="G11" i="1"/>
  <c r="H11" i="1" s="1"/>
  <c r="M11" i="1" s="1"/>
  <c r="W11" i="1" s="1"/>
  <c r="G12" i="1"/>
  <c r="H12" i="1" s="1"/>
  <c r="M12" i="1" s="1"/>
  <c r="W12" i="1" s="1"/>
  <c r="G13" i="1"/>
  <c r="H13" i="1" s="1"/>
  <c r="M13" i="1" s="1"/>
  <c r="W13" i="1" s="1"/>
  <c r="G14" i="1"/>
  <c r="H14" i="1" s="1"/>
  <c r="G15" i="1"/>
  <c r="H15" i="1" s="1"/>
  <c r="G16" i="1"/>
  <c r="H16" i="1" s="1"/>
  <c r="G17" i="1"/>
  <c r="H17" i="1" s="1"/>
  <c r="G18" i="1"/>
  <c r="H18" i="1" s="1"/>
  <c r="G19" i="1"/>
  <c r="H19" i="1" s="1"/>
  <c r="G20" i="1"/>
  <c r="H20" i="1" s="1"/>
  <c r="G4" i="1"/>
  <c r="H4" i="1" s="1"/>
  <c r="R4" i="1" s="1"/>
  <c r="F5" i="1"/>
  <c r="K5" i="1" s="1"/>
  <c r="K28" i="1" s="1"/>
  <c r="F6" i="1"/>
  <c r="K6" i="1" s="1"/>
  <c r="U6" i="1" s="1"/>
  <c r="F7" i="1"/>
  <c r="K7" i="1" s="1"/>
  <c r="F8" i="1"/>
  <c r="K8" i="1" s="1"/>
  <c r="F9" i="1"/>
  <c r="K9" i="1" s="1"/>
  <c r="U9" i="1" s="1"/>
  <c r="F10" i="1"/>
  <c r="K10" i="1" s="1"/>
  <c r="F11" i="1"/>
  <c r="K11" i="1" s="1"/>
  <c r="U11" i="1" s="1"/>
  <c r="F12" i="1"/>
  <c r="K12" i="1" s="1"/>
  <c r="F13" i="1"/>
  <c r="K13" i="1" s="1"/>
  <c r="U13" i="1" s="1"/>
  <c r="F14" i="1"/>
  <c r="K14" i="1" s="1"/>
  <c r="U14" i="1" s="1"/>
  <c r="F15" i="1"/>
  <c r="K15" i="1" s="1"/>
  <c r="U15" i="1" s="1"/>
  <c r="F16" i="1"/>
  <c r="K16" i="1" s="1"/>
  <c r="U16" i="1" s="1"/>
  <c r="F17" i="1"/>
  <c r="K17" i="1" s="1"/>
  <c r="F18" i="1"/>
  <c r="K18" i="1" s="1"/>
  <c r="F19" i="1"/>
  <c r="K19" i="1" s="1"/>
  <c r="U19" i="1" s="1"/>
  <c r="F20" i="1"/>
  <c r="K20" i="1" s="1"/>
  <c r="F4" i="1"/>
  <c r="P4" i="1" s="1"/>
  <c r="Z4" i="1" s="1"/>
  <c r="E3" i="1"/>
  <c r="F3" i="1" s="1"/>
  <c r="G3" i="1" s="1"/>
  <c r="H3" i="1" s="1"/>
  <c r="S6" i="1"/>
  <c r="C28" i="1"/>
  <c r="C27" i="1"/>
  <c r="C26" i="1"/>
  <c r="C25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U27" i="1" l="1"/>
  <c r="AB15" i="1"/>
  <c r="T28" i="1"/>
  <c r="Y17" i="1"/>
  <c r="U28" i="1"/>
  <c r="O28" i="1"/>
  <c r="H25" i="1"/>
  <c r="T9" i="1"/>
  <c r="Y9" i="1" s="1"/>
  <c r="K27" i="1"/>
  <c r="H28" i="1"/>
  <c r="I26" i="1"/>
  <c r="J27" i="1"/>
  <c r="O26" i="1"/>
  <c r="T25" i="1"/>
  <c r="G28" i="1"/>
  <c r="G27" i="1"/>
  <c r="U5" i="1"/>
  <c r="I27" i="1"/>
  <c r="F28" i="1"/>
  <c r="H27" i="1"/>
  <c r="I28" i="1"/>
  <c r="H26" i="1"/>
  <c r="Y10" i="1"/>
  <c r="Y5" i="1"/>
  <c r="AB4" i="1"/>
  <c r="G25" i="1"/>
  <c r="T6" i="1"/>
  <c r="T26" i="1" s="1"/>
  <c r="K25" i="1"/>
  <c r="F25" i="1"/>
  <c r="K26" i="1"/>
  <c r="F27" i="1"/>
  <c r="G26" i="1"/>
  <c r="R13" i="1"/>
  <c r="AB13" i="1" s="1"/>
  <c r="F26" i="1"/>
  <c r="Y7" i="1"/>
  <c r="R12" i="1"/>
  <c r="AB12" i="1" s="1"/>
  <c r="P10" i="1"/>
  <c r="Z10" i="1" s="1"/>
  <c r="P17" i="1"/>
  <c r="Z17" i="1" s="1"/>
  <c r="Q6" i="1"/>
  <c r="R16" i="1"/>
  <c r="AB16" i="1" s="1"/>
  <c r="P6" i="1"/>
  <c r="R6" i="1"/>
  <c r="R25" i="1" s="1"/>
  <c r="Q16" i="1"/>
  <c r="AA16" i="1" s="1"/>
  <c r="R5" i="1"/>
  <c r="R28" i="1" s="1"/>
  <c r="P16" i="1"/>
  <c r="Z16" i="1" s="1"/>
  <c r="Q10" i="1"/>
  <c r="R9" i="1"/>
  <c r="P19" i="1"/>
  <c r="Z19" i="1" s="1"/>
  <c r="R18" i="1"/>
  <c r="AB18" i="1" s="1"/>
  <c r="Q15" i="1"/>
  <c r="P12" i="1"/>
  <c r="Z12" i="1" s="1"/>
  <c r="R8" i="1"/>
  <c r="AB8" i="1" s="1"/>
  <c r="Q5" i="1"/>
  <c r="Q13" i="1"/>
  <c r="P13" i="1"/>
  <c r="Z13" i="1" s="1"/>
  <c r="Q9" i="1"/>
  <c r="Q12" i="1"/>
  <c r="Q18" i="1"/>
  <c r="AA18" i="1" s="1"/>
  <c r="P15" i="1"/>
  <c r="Z15" i="1" s="1"/>
  <c r="R11" i="1"/>
  <c r="AB11" i="1" s="1"/>
  <c r="Q8" i="1"/>
  <c r="AA8" i="1" s="1"/>
  <c r="P5" i="1"/>
  <c r="P28" i="1" s="1"/>
  <c r="Q19" i="1"/>
  <c r="AA19" i="1" s="1"/>
  <c r="P9" i="1"/>
  <c r="Z9" i="1" s="1"/>
  <c r="P18" i="1"/>
  <c r="Z18" i="1" s="1"/>
  <c r="R14" i="1"/>
  <c r="Q11" i="1"/>
  <c r="P8" i="1"/>
  <c r="Z8" i="1" s="1"/>
  <c r="R17" i="1"/>
  <c r="Q14" i="1"/>
  <c r="AA14" i="1" s="1"/>
  <c r="P11" i="1"/>
  <c r="Z11" i="1" s="1"/>
  <c r="R7" i="1"/>
  <c r="AB7" i="1" s="1"/>
  <c r="Q20" i="1"/>
  <c r="AA20" i="1" s="1"/>
  <c r="R19" i="1"/>
  <c r="R20" i="1"/>
  <c r="Q17" i="1"/>
  <c r="AA17" i="1" s="1"/>
  <c r="P14" i="1"/>
  <c r="Z14" i="1" s="1"/>
  <c r="R10" i="1"/>
  <c r="Q7" i="1"/>
  <c r="AA7" i="1" s="1"/>
  <c r="Q4" i="1"/>
  <c r="L9" i="1"/>
  <c r="V9" i="1" s="1"/>
  <c r="L10" i="1"/>
  <c r="V10" i="1" s="1"/>
  <c r="L11" i="1"/>
  <c r="V11" i="1" s="1"/>
  <c r="L17" i="1"/>
  <c r="V17" i="1" s="1"/>
  <c r="L18" i="1"/>
  <c r="V18" i="1" s="1"/>
  <c r="L19" i="1"/>
  <c r="V19" i="1" s="1"/>
  <c r="L20" i="1"/>
  <c r="V20" i="1" s="1"/>
  <c r="L7" i="1"/>
  <c r="V7" i="1" s="1"/>
  <c r="L8" i="1"/>
  <c r="V8" i="1" s="1"/>
  <c r="L13" i="1"/>
  <c r="V13" i="1" s="1"/>
  <c r="M7" i="1"/>
  <c r="W7" i="1" s="1"/>
  <c r="M17" i="1"/>
  <c r="W17" i="1" s="1"/>
  <c r="M6" i="1"/>
  <c r="W6" i="1" s="1"/>
  <c r="L14" i="1"/>
  <c r="V14" i="1" s="1"/>
  <c r="M8" i="1"/>
  <c r="W8" i="1" s="1"/>
  <c r="M18" i="1"/>
  <c r="W18" i="1" s="1"/>
  <c r="M14" i="1"/>
  <c r="W14" i="1" s="1"/>
  <c r="M15" i="1"/>
  <c r="W15" i="1" s="1"/>
  <c r="L12" i="1"/>
  <c r="V12" i="1" s="1"/>
  <c r="L5" i="1"/>
  <c r="L15" i="1"/>
  <c r="V15" i="1" s="1"/>
  <c r="M9" i="1"/>
  <c r="W9" i="1" s="1"/>
  <c r="M19" i="1"/>
  <c r="W19" i="1" s="1"/>
  <c r="M5" i="1"/>
  <c r="M16" i="1"/>
  <c r="W16" i="1" s="1"/>
  <c r="L6" i="1"/>
  <c r="V6" i="1" s="1"/>
  <c r="L16" i="1"/>
  <c r="V16" i="1" s="1"/>
  <c r="M10" i="1"/>
  <c r="W10" i="1" s="1"/>
  <c r="M20" i="1"/>
  <c r="W20" i="1" s="1"/>
  <c r="X20" i="1"/>
  <c r="X10" i="1"/>
  <c r="X11" i="1"/>
  <c r="X13" i="1"/>
  <c r="X5" i="1"/>
  <c r="X16" i="1"/>
  <c r="X14" i="1"/>
  <c r="X6" i="1"/>
  <c r="N28" i="1"/>
  <c r="X19" i="1"/>
  <c r="X9" i="1"/>
  <c r="X15" i="1"/>
  <c r="X12" i="1"/>
  <c r="X18" i="1"/>
  <c r="AC17" i="1" s="1"/>
  <c r="X8" i="1"/>
  <c r="S28" i="1"/>
  <c r="S27" i="1"/>
  <c r="S25" i="1"/>
  <c r="X7" i="1"/>
  <c r="X17" i="1"/>
  <c r="N27" i="1"/>
  <c r="S26" i="1"/>
  <c r="N26" i="1"/>
  <c r="N25" i="1"/>
  <c r="W27" i="1" l="1"/>
  <c r="AA5" i="1"/>
  <c r="U26" i="1"/>
  <c r="U25" i="1"/>
  <c r="R26" i="1"/>
  <c r="L27" i="1"/>
  <c r="L25" i="1"/>
  <c r="V5" i="1"/>
  <c r="L26" i="1"/>
  <c r="L28" i="1"/>
  <c r="AB17" i="1"/>
  <c r="AC6" i="1"/>
  <c r="AA12" i="1"/>
  <c r="AC11" i="1" s="1"/>
  <c r="AA9" i="1"/>
  <c r="AC8" i="1" s="1"/>
  <c r="AC9" i="1"/>
  <c r="AC19" i="1"/>
  <c r="Q26" i="1"/>
  <c r="Q25" i="1"/>
  <c r="AA4" i="1"/>
  <c r="Q28" i="1"/>
  <c r="AA15" i="1"/>
  <c r="AC16" i="1"/>
  <c r="AA11" i="1"/>
  <c r="AC10" i="1" s="1"/>
  <c r="AB9" i="1"/>
  <c r="V27" i="1"/>
  <c r="AA10" i="1"/>
  <c r="AC15" i="1"/>
  <c r="AB20" i="1"/>
  <c r="P26" i="1"/>
  <c r="Z5" i="1"/>
  <c r="P25" i="1"/>
  <c r="AB6" i="1"/>
  <c r="R27" i="1"/>
  <c r="AC14" i="1"/>
  <c r="P27" i="1"/>
  <c r="Z6" i="1"/>
  <c r="Z27" i="1" s="1"/>
  <c r="AA6" i="1"/>
  <c r="Q27" i="1"/>
  <c r="AB10" i="1"/>
  <c r="T27" i="1"/>
  <c r="Y6" i="1"/>
  <c r="AB14" i="1"/>
  <c r="AC13" i="1" s="1"/>
  <c r="AC7" i="1"/>
  <c r="M27" i="1"/>
  <c r="W5" i="1"/>
  <c r="M28" i="1"/>
  <c r="M26" i="1"/>
  <c r="M25" i="1"/>
  <c r="AB19" i="1"/>
  <c r="AC18" i="1" s="1"/>
  <c r="AA13" i="1"/>
  <c r="AC12" i="1" s="1"/>
  <c r="AB5" i="1"/>
  <c r="AB28" i="1" s="1"/>
  <c r="X26" i="1"/>
  <c r="X28" i="1"/>
  <c r="X25" i="1"/>
  <c r="X27" i="1"/>
  <c r="AB27" i="1" l="1"/>
  <c r="Z25" i="1"/>
  <c r="Z28" i="1"/>
  <c r="Z26" i="1"/>
  <c r="W25" i="1"/>
  <c r="W28" i="1"/>
  <c r="W26" i="1"/>
  <c r="AA27" i="1"/>
  <c r="AB26" i="1"/>
  <c r="AB25" i="1"/>
  <c r="Y27" i="1"/>
  <c r="Y28" i="1"/>
  <c r="Y25" i="1"/>
  <c r="AC5" i="1"/>
  <c r="AA25" i="1"/>
  <c r="AA26" i="1"/>
  <c r="AA28" i="1"/>
  <c r="AC4" i="1"/>
  <c r="V28" i="1"/>
  <c r="V26" i="1"/>
  <c r="V25" i="1"/>
  <c r="Y26" i="1"/>
  <c r="AC28" i="1" l="1"/>
  <c r="AC27" i="1"/>
  <c r="AC26" i="1"/>
  <c r="AC25" i="1"/>
</calcChain>
</file>

<file path=xl/sharedStrings.xml><?xml version="1.0" encoding="utf-8"?>
<sst xmlns="http://schemas.openxmlformats.org/spreadsheetml/2006/main" count="48" uniqueCount="48">
  <si>
    <t>employee payroll</t>
  </si>
  <si>
    <t xml:space="preserve">Hourly Wage </t>
  </si>
  <si>
    <t xml:space="preserve">Last Name  </t>
  </si>
  <si>
    <t xml:space="preserve">First Name </t>
  </si>
  <si>
    <t>Hours worked</t>
  </si>
  <si>
    <t xml:space="preserve">Pay </t>
  </si>
  <si>
    <t>Ken</t>
  </si>
  <si>
    <t>Howard</t>
  </si>
  <si>
    <t>smith</t>
  </si>
  <si>
    <t>Baker</t>
  </si>
  <si>
    <t>Vinida</t>
  </si>
  <si>
    <t>casey</t>
  </si>
  <si>
    <t>patrick</t>
  </si>
  <si>
    <t>Young</t>
  </si>
  <si>
    <t>Ian</t>
  </si>
  <si>
    <t>Wesley</t>
  </si>
  <si>
    <t>Leslie</t>
  </si>
  <si>
    <t xml:space="preserve">lester </t>
  </si>
  <si>
    <t>Mil</t>
  </si>
  <si>
    <t>Norman</t>
  </si>
  <si>
    <t>Mann</t>
  </si>
  <si>
    <t>Anne</t>
  </si>
  <si>
    <t>Jon</t>
  </si>
  <si>
    <t>Lee</t>
  </si>
  <si>
    <t>Glen</t>
  </si>
  <si>
    <t>Ves</t>
  </si>
  <si>
    <t>Ton</t>
  </si>
  <si>
    <t>Lim</t>
  </si>
  <si>
    <t>Chen</t>
  </si>
  <si>
    <t>Nancy</t>
  </si>
  <si>
    <t>Dennis</t>
  </si>
  <si>
    <t>Linda</t>
  </si>
  <si>
    <t>Owen</t>
  </si>
  <si>
    <t>Bliss</t>
  </si>
  <si>
    <t>Bill</t>
  </si>
  <si>
    <t>Trent</t>
  </si>
  <si>
    <t>Genesis</t>
  </si>
  <si>
    <t>Gwen</t>
  </si>
  <si>
    <t>Mary</t>
  </si>
  <si>
    <t>Max</t>
  </si>
  <si>
    <t>Min</t>
  </si>
  <si>
    <t>Average</t>
  </si>
  <si>
    <t>Total</t>
  </si>
  <si>
    <t>maxi</t>
  </si>
  <si>
    <t>Overtime Hours Worked</t>
  </si>
  <si>
    <t>Overtime Bonus</t>
  </si>
  <si>
    <t>Total Pay</t>
  </si>
  <si>
    <t xml:space="preserve">Total Pay for all weeks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</si>
</sst>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d/m/yy;@"/>
  </numFmts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6D7FF"/>
        <bgColor indexed="64"/>
      </patternFill>
    </fill>
    <fill>
      <patternFill patternType="solid">
        <fgColor rgb="FFFFFE9E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7">
    <xf numFmtId="0" fontId="0" fillId="0" borderId="0" xfId="0"/>
    <xf numFmtId="17" fontId="0" fillId="0" borderId="0" xfId="0" applyNumberFormat="1"/>
    <xf numFmtId="44" fontId="0" fillId="0" borderId="0" xfId="1" applyFont="1"/>
    <xf numFmtId="44" fontId="0" fillId="0" borderId="0" xfId="0" applyNumberFormat="1"/>
    <xf numFmtId="1" fontId="0" fillId="0" borderId="0" xfId="0" applyNumberFormat="1"/>
    <xf numFmtId="3" fontId="0" fillId="0" borderId="0" xfId="0" applyNumberFormat="1"/>
    <xf numFmtId="164" fontId="0" fillId="2" borderId="0" xfId="0" quotePrefix="1" applyNumberFormat="1" applyFill="1"/>
    <xf numFmtId="0" fontId="0" fillId="2" borderId="0" xfId="0" applyFill="1"/>
    <xf numFmtId="164" fontId="0" fillId="3" borderId="0" xfId="0" applyNumberFormat="1" applyFill="1"/>
    <xf numFmtId="3" fontId="0" fillId="3" borderId="0" xfId="0" applyNumberFormat="1" applyFill="1"/>
    <xf numFmtId="0" fontId="0" fillId="3" borderId="0" xfId="0" applyFill="1"/>
    <xf numFmtId="164" fontId="0" fillId="4" borderId="0" xfId="0" applyNumberFormat="1" applyFill="1"/>
    <xf numFmtId="44" fontId="0" fillId="4" borderId="0" xfId="0" applyNumberFormat="1" applyFill="1"/>
    <xf numFmtId="16" fontId="0" fillId="5" borderId="0" xfId="0" applyNumberFormat="1" applyFill="1"/>
    <xf numFmtId="44" fontId="0" fillId="5" borderId="0" xfId="0" applyNumberFormat="1" applyFill="1"/>
    <xf numFmtId="16" fontId="0" fillId="6" borderId="0" xfId="0" applyNumberFormat="1" applyFill="1"/>
    <xf numFmtId="44" fontId="0" fillId="6" borderId="0" xfId="0" applyNumberFormat="1" applyFill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mruColors>
      <color rgb="FFFFFE9E"/>
      <color rgb="FFE6D7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F735A-9A62-B14D-BFC0-AFA2E5A710D2}">
  <dimension ref="A1:AC28"/>
  <sheetViews>
    <sheetView tabSelected="1" zoomScaleNormal="75" workbookViewId="0">
      <selection activeCell="AC3" sqref="AC3"/>
    </sheetView>
  </sheetViews>
  <sheetFormatPr baseColWidth="10" defaultRowHeight="16" x14ac:dyDescent="0.2"/>
  <cols>
    <col min="1" max="1" width="14.83203125" bestFit="1" customWidth="1"/>
    <col min="4" max="4" width="17.83203125" customWidth="1"/>
    <col min="5" max="5" width="17" customWidth="1"/>
    <col min="6" max="6" width="14.1640625" customWidth="1"/>
    <col min="7" max="7" width="13.83203125" customWidth="1"/>
    <col min="8" max="8" width="15.33203125" customWidth="1"/>
    <col min="9" max="9" width="19.83203125" customWidth="1"/>
    <col min="10" max="10" width="15.33203125" customWidth="1"/>
    <col min="11" max="12" width="11" bestFit="1" customWidth="1"/>
    <col min="13" max="13" width="15.83203125" customWidth="1"/>
    <col min="14" max="14" width="15.1640625" customWidth="1"/>
    <col min="15" max="15" width="15.5" customWidth="1"/>
    <col min="16" max="16" width="15.1640625" customWidth="1"/>
    <col min="17" max="17" width="14.83203125" customWidth="1"/>
    <col min="18" max="18" width="20.83203125" customWidth="1"/>
    <col min="19" max="19" width="11" bestFit="1" customWidth="1"/>
    <col min="20" max="23" width="11" customWidth="1"/>
    <col min="24" max="24" width="15.1640625" customWidth="1"/>
    <col min="25" max="25" width="13.83203125" customWidth="1"/>
    <col min="26" max="26" width="15.33203125" customWidth="1"/>
    <col min="27" max="27" width="15.6640625" customWidth="1"/>
    <col min="28" max="28" width="17" customWidth="1"/>
    <col min="29" max="29" width="23.6640625" customWidth="1"/>
  </cols>
  <sheetData>
    <row r="1" spans="1:29" x14ac:dyDescent="0.2">
      <c r="A1" t="s">
        <v>0</v>
      </c>
    </row>
    <row r="2" spans="1:29" x14ac:dyDescent="0.2">
      <c r="D2" t="s">
        <v>4</v>
      </c>
      <c r="E2" s="1"/>
      <c r="I2" t="s">
        <v>44</v>
      </c>
      <c r="N2" t="s">
        <v>5</v>
      </c>
      <c r="S2" t="s">
        <v>45</v>
      </c>
      <c r="X2" t="s">
        <v>46</v>
      </c>
      <c r="AC2" t="s">
        <v>47</v>
      </c>
    </row>
    <row r="3" spans="1:29" x14ac:dyDescent="0.2">
      <c r="A3" t="s">
        <v>21</v>
      </c>
      <c r="B3" t="s">
        <v>3</v>
      </c>
      <c r="C3" s="2" t="s">
        <v>1</v>
      </c>
      <c r="D3" s="6">
        <v>46023</v>
      </c>
      <c r="E3" s="6">
        <f>D3+7</f>
        <v>46030</v>
      </c>
      <c r="F3" s="6">
        <f t="shared" ref="F3:H3" si="0">E3+7</f>
        <v>46037</v>
      </c>
      <c r="G3" s="6">
        <f t="shared" si="0"/>
        <v>46044</v>
      </c>
      <c r="H3" s="6">
        <f t="shared" si="0"/>
        <v>46051</v>
      </c>
      <c r="I3" s="8">
        <v>46023</v>
      </c>
      <c r="J3" s="8">
        <f>I3+7</f>
        <v>46030</v>
      </c>
      <c r="K3" s="8">
        <f>J3+7</f>
        <v>46037</v>
      </c>
      <c r="L3" s="8">
        <f t="shared" ref="L3:M3" si="1">K3+7</f>
        <v>46044</v>
      </c>
      <c r="M3" s="8">
        <f t="shared" si="1"/>
        <v>46051</v>
      </c>
      <c r="N3" s="11">
        <v>46023</v>
      </c>
      <c r="O3" s="11">
        <f>N3+7</f>
        <v>46030</v>
      </c>
      <c r="P3" s="11">
        <f>O3+7</f>
        <v>46037</v>
      </c>
      <c r="Q3" s="11">
        <f>P3+7</f>
        <v>46044</v>
      </c>
      <c r="R3" s="11">
        <f>Q3+7</f>
        <v>46051</v>
      </c>
      <c r="S3" s="13">
        <v>46023</v>
      </c>
      <c r="T3" s="13">
        <f>S3+7</f>
        <v>46030</v>
      </c>
      <c r="U3" s="13">
        <f t="shared" ref="U3:W3" si="2">T3+7</f>
        <v>46037</v>
      </c>
      <c r="V3" s="13">
        <f t="shared" si="2"/>
        <v>46044</v>
      </c>
      <c r="W3" s="13">
        <f t="shared" si="2"/>
        <v>46051</v>
      </c>
      <c r="X3" s="15">
        <v>46023</v>
      </c>
      <c r="Y3" s="15">
        <f>X3+7</f>
        <v>46030</v>
      </c>
      <c r="Z3" s="15">
        <f t="shared" ref="Z3:AB3" si="3">Y3+7</f>
        <v>46037</v>
      </c>
      <c r="AA3" s="15">
        <f t="shared" si="3"/>
        <v>46044</v>
      </c>
      <c r="AB3" s="15">
        <f t="shared" si="3"/>
        <v>46051</v>
      </c>
      <c r="AC3" s="3">
        <f>SUM(X4:AB4)</f>
        <v>3283.3500000000004</v>
      </c>
    </row>
    <row r="4" spans="1:29" x14ac:dyDescent="0.2">
      <c r="A4" t="s">
        <v>9</v>
      </c>
      <c r="B4" t="s">
        <v>22</v>
      </c>
      <c r="C4" s="2">
        <v>15.9</v>
      </c>
      <c r="D4" s="7">
        <v>41</v>
      </c>
      <c r="E4" s="7">
        <v>40</v>
      </c>
      <c r="F4" s="7">
        <f>D4-1</f>
        <v>40</v>
      </c>
      <c r="G4" s="7">
        <f>E4+1</f>
        <v>41</v>
      </c>
      <c r="H4" s="7">
        <f>G4+1</f>
        <v>42</v>
      </c>
      <c r="I4" s="9">
        <v>1</v>
      </c>
      <c r="J4" s="9">
        <v>1</v>
      </c>
      <c r="K4" s="9">
        <v>1</v>
      </c>
      <c r="L4" s="9">
        <v>1</v>
      </c>
      <c r="M4" s="9">
        <v>1</v>
      </c>
      <c r="N4" s="12">
        <f>$C4*D4</f>
        <v>651.9</v>
      </c>
      <c r="O4" s="12">
        <f>$C4*E4</f>
        <v>636</v>
      </c>
      <c r="P4" s="12">
        <f>$C4*F4</f>
        <v>636</v>
      </c>
      <c r="Q4" s="12">
        <f>$C4*G4</f>
        <v>651.9</v>
      </c>
      <c r="R4" s="12">
        <f t="shared" ref="R4" si="4">$C4*H4</f>
        <v>667.80000000000007</v>
      </c>
      <c r="S4" s="14">
        <f>0.5*$C4*I4</f>
        <v>7.95</v>
      </c>
      <c r="T4" s="14">
        <f>0.5*$C4*J4</f>
        <v>7.95</v>
      </c>
      <c r="U4" s="14">
        <f t="shared" ref="U4:U20" si="5">0.5*$C4*K4</f>
        <v>7.95</v>
      </c>
      <c r="V4" s="14">
        <f t="shared" ref="V4:V20" si="6">0.5*$C4*L4</f>
        <v>7.95</v>
      </c>
      <c r="W4" s="14">
        <f t="shared" ref="W4:W20" si="7">0.5*$C4*M4</f>
        <v>7.95</v>
      </c>
      <c r="X4" s="16">
        <f>N4+S4</f>
        <v>659.85</v>
      </c>
      <c r="Y4" s="16">
        <f>O4+T4</f>
        <v>643.95000000000005</v>
      </c>
      <c r="Z4" s="16">
        <f t="shared" ref="Y4:AB19" si="8">P4+U4</f>
        <v>643.95000000000005</v>
      </c>
      <c r="AA4" s="16">
        <f t="shared" si="8"/>
        <v>659.85</v>
      </c>
      <c r="AB4" s="16">
        <f t="shared" si="8"/>
        <v>675.75000000000011</v>
      </c>
      <c r="AC4" s="3">
        <f t="shared" ref="AC4:AC20" si="9">SUM(X5:AB5)</f>
        <v>7396</v>
      </c>
    </row>
    <row r="5" spans="1:29" x14ac:dyDescent="0.2">
      <c r="A5" t="s">
        <v>11</v>
      </c>
      <c r="B5" t="s">
        <v>23</v>
      </c>
      <c r="C5" s="2">
        <v>10</v>
      </c>
      <c r="D5" s="7">
        <v>42</v>
      </c>
      <c r="E5" s="7">
        <v>41</v>
      </c>
      <c r="F5" s="7">
        <f t="shared" ref="F5:F20" si="10">D5-1</f>
        <v>41</v>
      </c>
      <c r="G5" s="7">
        <f t="shared" ref="G5:G20" si="11">E5+1</f>
        <v>42</v>
      </c>
      <c r="H5" s="7">
        <f t="shared" ref="H5:H20" si="12">G5+1</f>
        <v>43</v>
      </c>
      <c r="I5" s="10">
        <f t="shared" ref="I5:I20" si="13">IF(D5&gt;40,D5-40,0)</f>
        <v>2</v>
      </c>
      <c r="J5" s="10">
        <f t="shared" ref="J5:J20" si="14">IF(E5&gt;40,E5-40,0)</f>
        <v>1</v>
      </c>
      <c r="K5" s="10">
        <f t="shared" ref="K5:K20" si="15">IF(F5&gt;40,F5-40,0)</f>
        <v>1</v>
      </c>
      <c r="L5" s="10">
        <f t="shared" ref="L5:L20" si="16">IF(G5&gt;40,G5-40,0)</f>
        <v>2</v>
      </c>
      <c r="M5" s="10">
        <f t="shared" ref="M5:M20" si="17">IF(H5&gt;40,H5-40,0)</f>
        <v>3</v>
      </c>
      <c r="N5" s="12">
        <f t="shared" ref="N5:N20" si="18">C5*D5</f>
        <v>420</v>
      </c>
      <c r="O5" s="12">
        <f t="shared" ref="O5:O20" si="19">D5*E5</f>
        <v>1722</v>
      </c>
      <c r="P5" s="12">
        <f t="shared" ref="P5:R20" si="20">E5*F5</f>
        <v>1681</v>
      </c>
      <c r="Q5" s="12">
        <f t="shared" si="20"/>
        <v>1722</v>
      </c>
      <c r="R5" s="12">
        <f t="shared" si="20"/>
        <v>1806</v>
      </c>
      <c r="S5" s="14">
        <f t="shared" ref="S5:S20" si="21">0.5*C5*I5</f>
        <v>10</v>
      </c>
      <c r="T5" s="14">
        <f t="shared" ref="T5:T20" si="22">0.5*$C5*J5</f>
        <v>5</v>
      </c>
      <c r="U5" s="14">
        <f t="shared" si="5"/>
        <v>5</v>
      </c>
      <c r="V5" s="14">
        <f t="shared" si="6"/>
        <v>10</v>
      </c>
      <c r="W5" s="14">
        <f t="shared" si="7"/>
        <v>15</v>
      </c>
      <c r="X5" s="16">
        <f t="shared" ref="X5:X20" si="23">N5+S5</f>
        <v>430</v>
      </c>
      <c r="Y5" s="16">
        <f t="shared" si="8"/>
        <v>1727</v>
      </c>
      <c r="Z5" s="16">
        <f t="shared" si="8"/>
        <v>1686</v>
      </c>
      <c r="AA5" s="16">
        <f t="shared" si="8"/>
        <v>1732</v>
      </c>
      <c r="AB5" s="16">
        <f t="shared" si="8"/>
        <v>1821</v>
      </c>
      <c r="AC5" s="3">
        <f t="shared" si="9"/>
        <v>10750.95</v>
      </c>
    </row>
    <row r="6" spans="1:29" x14ac:dyDescent="0.2">
      <c r="A6" t="s">
        <v>7</v>
      </c>
      <c r="B6" t="s">
        <v>24</v>
      </c>
      <c r="C6" s="2">
        <v>22.1</v>
      </c>
      <c r="D6" s="7">
        <v>49</v>
      </c>
      <c r="E6" s="7">
        <v>47</v>
      </c>
      <c r="F6" s="7">
        <f t="shared" si="10"/>
        <v>48</v>
      </c>
      <c r="G6" s="7">
        <f t="shared" si="11"/>
        <v>48</v>
      </c>
      <c r="H6" s="7">
        <f t="shared" si="12"/>
        <v>49</v>
      </c>
      <c r="I6" s="10">
        <f t="shared" si="13"/>
        <v>9</v>
      </c>
      <c r="J6" s="10">
        <f t="shared" si="14"/>
        <v>7</v>
      </c>
      <c r="K6" s="10">
        <f t="shared" si="15"/>
        <v>8</v>
      </c>
      <c r="L6" s="10">
        <f t="shared" si="16"/>
        <v>8</v>
      </c>
      <c r="M6" s="10">
        <f t="shared" si="17"/>
        <v>9</v>
      </c>
      <c r="N6" s="12">
        <f t="shared" si="18"/>
        <v>1082.9000000000001</v>
      </c>
      <c r="O6" s="12">
        <f t="shared" si="19"/>
        <v>2303</v>
      </c>
      <c r="P6" s="12">
        <f t="shared" si="20"/>
        <v>2256</v>
      </c>
      <c r="Q6" s="12">
        <f t="shared" si="20"/>
        <v>2304</v>
      </c>
      <c r="R6" s="12">
        <f t="shared" si="20"/>
        <v>2352</v>
      </c>
      <c r="S6" s="14">
        <f t="shared" si="21"/>
        <v>99.45</v>
      </c>
      <c r="T6" s="14">
        <f t="shared" si="22"/>
        <v>77.350000000000009</v>
      </c>
      <c r="U6" s="14">
        <f t="shared" si="5"/>
        <v>88.4</v>
      </c>
      <c r="V6" s="14">
        <f t="shared" si="6"/>
        <v>88.4</v>
      </c>
      <c r="W6" s="14">
        <f t="shared" si="7"/>
        <v>99.45</v>
      </c>
      <c r="X6" s="16">
        <f t="shared" si="23"/>
        <v>1182.3500000000001</v>
      </c>
      <c r="Y6" s="16">
        <f t="shared" si="8"/>
        <v>2380.35</v>
      </c>
      <c r="Z6" s="16">
        <f t="shared" si="8"/>
        <v>2344.4</v>
      </c>
      <c r="AA6" s="16">
        <f t="shared" si="8"/>
        <v>2392.4</v>
      </c>
      <c r="AB6" s="16">
        <f t="shared" si="8"/>
        <v>2451.4499999999998</v>
      </c>
      <c r="AC6" s="3">
        <f t="shared" si="9"/>
        <v>8130.25</v>
      </c>
    </row>
    <row r="7" spans="1:29" x14ac:dyDescent="0.2">
      <c r="A7" t="s">
        <v>14</v>
      </c>
      <c r="B7" t="s">
        <v>25</v>
      </c>
      <c r="C7" s="2">
        <v>19.100000000000001</v>
      </c>
      <c r="D7" s="7">
        <v>41</v>
      </c>
      <c r="E7" s="7">
        <v>43</v>
      </c>
      <c r="F7" s="7">
        <f t="shared" si="10"/>
        <v>40</v>
      </c>
      <c r="G7" s="7">
        <f t="shared" si="11"/>
        <v>44</v>
      </c>
      <c r="H7" s="7">
        <f t="shared" si="12"/>
        <v>45</v>
      </c>
      <c r="I7" s="10">
        <f t="shared" si="13"/>
        <v>1</v>
      </c>
      <c r="J7" s="10">
        <f t="shared" si="14"/>
        <v>3</v>
      </c>
      <c r="K7" s="10">
        <f t="shared" si="15"/>
        <v>0</v>
      </c>
      <c r="L7" s="10">
        <f t="shared" si="16"/>
        <v>4</v>
      </c>
      <c r="M7" s="10">
        <f t="shared" si="17"/>
        <v>5</v>
      </c>
      <c r="N7" s="12">
        <f t="shared" si="18"/>
        <v>783.1</v>
      </c>
      <c r="O7" s="12">
        <f t="shared" si="19"/>
        <v>1763</v>
      </c>
      <c r="P7" s="12">
        <f t="shared" si="20"/>
        <v>1720</v>
      </c>
      <c r="Q7" s="12">
        <f t="shared" si="20"/>
        <v>1760</v>
      </c>
      <c r="R7" s="12">
        <f t="shared" si="20"/>
        <v>1980</v>
      </c>
      <c r="S7" s="14">
        <f t="shared" si="21"/>
        <v>9.5500000000000007</v>
      </c>
      <c r="T7" s="14">
        <f t="shared" si="22"/>
        <v>28.650000000000002</v>
      </c>
      <c r="U7" s="14">
        <f t="shared" si="5"/>
        <v>0</v>
      </c>
      <c r="V7" s="14">
        <f t="shared" si="6"/>
        <v>38.200000000000003</v>
      </c>
      <c r="W7" s="14">
        <f t="shared" si="7"/>
        <v>47.75</v>
      </c>
      <c r="X7" s="16">
        <f t="shared" si="23"/>
        <v>792.65</v>
      </c>
      <c r="Y7" s="16">
        <f t="shared" si="8"/>
        <v>1791.65</v>
      </c>
      <c r="Z7" s="16">
        <f t="shared" si="8"/>
        <v>1720</v>
      </c>
      <c r="AA7" s="16">
        <f t="shared" si="8"/>
        <v>1798.2</v>
      </c>
      <c r="AB7" s="16">
        <f t="shared" si="8"/>
        <v>2027.75</v>
      </c>
      <c r="AC7" s="3">
        <f t="shared" si="9"/>
        <v>6435.55</v>
      </c>
    </row>
    <row r="8" spans="1:29" x14ac:dyDescent="0.2">
      <c r="A8" t="s">
        <v>6</v>
      </c>
      <c r="B8" t="s">
        <v>26</v>
      </c>
      <c r="C8" s="2">
        <v>6.9</v>
      </c>
      <c r="D8" s="7">
        <v>39</v>
      </c>
      <c r="E8" s="7">
        <v>39</v>
      </c>
      <c r="F8" s="7">
        <f t="shared" si="10"/>
        <v>38</v>
      </c>
      <c r="G8" s="7">
        <f t="shared" si="11"/>
        <v>40</v>
      </c>
      <c r="H8" s="7">
        <f t="shared" si="12"/>
        <v>41</v>
      </c>
      <c r="I8" s="10">
        <f t="shared" si="13"/>
        <v>0</v>
      </c>
      <c r="J8" s="10">
        <f t="shared" si="14"/>
        <v>0</v>
      </c>
      <c r="K8" s="10">
        <f t="shared" si="15"/>
        <v>0</v>
      </c>
      <c r="L8" s="10">
        <f t="shared" si="16"/>
        <v>0</v>
      </c>
      <c r="M8" s="10">
        <f t="shared" si="17"/>
        <v>1</v>
      </c>
      <c r="N8" s="12">
        <f t="shared" si="18"/>
        <v>269.10000000000002</v>
      </c>
      <c r="O8" s="12">
        <f t="shared" si="19"/>
        <v>1521</v>
      </c>
      <c r="P8" s="12">
        <f t="shared" si="20"/>
        <v>1482</v>
      </c>
      <c r="Q8" s="12">
        <f t="shared" si="20"/>
        <v>1520</v>
      </c>
      <c r="R8" s="12">
        <f t="shared" si="20"/>
        <v>1640</v>
      </c>
      <c r="S8" s="14">
        <f t="shared" si="21"/>
        <v>0</v>
      </c>
      <c r="T8" s="14">
        <f t="shared" si="22"/>
        <v>0</v>
      </c>
      <c r="U8" s="14">
        <f t="shared" si="5"/>
        <v>0</v>
      </c>
      <c r="V8" s="14">
        <f t="shared" si="6"/>
        <v>0</v>
      </c>
      <c r="W8" s="14">
        <f t="shared" si="7"/>
        <v>3.45</v>
      </c>
      <c r="X8" s="16">
        <f t="shared" si="23"/>
        <v>269.10000000000002</v>
      </c>
      <c r="Y8" s="16">
        <f t="shared" si="8"/>
        <v>1521</v>
      </c>
      <c r="Z8" s="16">
        <f t="shared" si="8"/>
        <v>1482</v>
      </c>
      <c r="AA8" s="16">
        <f t="shared" si="8"/>
        <v>1520</v>
      </c>
      <c r="AB8" s="16">
        <f t="shared" si="8"/>
        <v>1643.45</v>
      </c>
      <c r="AC8" s="3">
        <f t="shared" si="9"/>
        <v>8794.9</v>
      </c>
    </row>
    <row r="9" spans="1:29" x14ac:dyDescent="0.2">
      <c r="A9" t="s">
        <v>2</v>
      </c>
      <c r="B9" t="s">
        <v>27</v>
      </c>
      <c r="C9" s="2">
        <v>14.2</v>
      </c>
      <c r="D9" s="7">
        <v>55</v>
      </c>
      <c r="E9" s="7">
        <v>38</v>
      </c>
      <c r="F9" s="7">
        <f t="shared" si="10"/>
        <v>54</v>
      </c>
      <c r="G9" s="7">
        <f t="shared" si="11"/>
        <v>39</v>
      </c>
      <c r="H9" s="7">
        <f t="shared" si="12"/>
        <v>40</v>
      </c>
      <c r="I9" s="10">
        <f t="shared" si="13"/>
        <v>15</v>
      </c>
      <c r="J9" s="10">
        <f t="shared" si="14"/>
        <v>0</v>
      </c>
      <c r="K9" s="10">
        <f t="shared" si="15"/>
        <v>14</v>
      </c>
      <c r="L9" s="10">
        <f t="shared" si="16"/>
        <v>0</v>
      </c>
      <c r="M9" s="10">
        <f t="shared" si="17"/>
        <v>0</v>
      </c>
      <c r="N9" s="12">
        <f t="shared" si="18"/>
        <v>781</v>
      </c>
      <c r="O9" s="12">
        <f t="shared" si="19"/>
        <v>2090</v>
      </c>
      <c r="P9" s="12">
        <f t="shared" si="20"/>
        <v>2052</v>
      </c>
      <c r="Q9" s="12">
        <f t="shared" si="20"/>
        <v>2106</v>
      </c>
      <c r="R9" s="12">
        <f t="shared" si="20"/>
        <v>1560</v>
      </c>
      <c r="S9" s="14">
        <f t="shared" si="21"/>
        <v>106.5</v>
      </c>
      <c r="T9" s="14">
        <f t="shared" si="22"/>
        <v>0</v>
      </c>
      <c r="U9" s="14">
        <f t="shared" si="5"/>
        <v>99.399999999999991</v>
      </c>
      <c r="V9" s="14">
        <f t="shared" si="6"/>
        <v>0</v>
      </c>
      <c r="W9" s="14">
        <f t="shared" si="7"/>
        <v>0</v>
      </c>
      <c r="X9" s="16">
        <f t="shared" si="23"/>
        <v>887.5</v>
      </c>
      <c r="Y9" s="16">
        <f t="shared" si="8"/>
        <v>2090</v>
      </c>
      <c r="Z9" s="16">
        <f t="shared" si="8"/>
        <v>2151.4</v>
      </c>
      <c r="AA9" s="16">
        <f t="shared" si="8"/>
        <v>2106</v>
      </c>
      <c r="AB9" s="16">
        <f t="shared" si="8"/>
        <v>1560</v>
      </c>
      <c r="AC9" s="3">
        <f t="shared" si="9"/>
        <v>10069.75</v>
      </c>
    </row>
    <row r="10" spans="1:29" x14ac:dyDescent="0.2">
      <c r="A10" t="s">
        <v>16</v>
      </c>
      <c r="B10" t="s">
        <v>28</v>
      </c>
      <c r="C10" s="2">
        <v>17.5</v>
      </c>
      <c r="D10" s="7">
        <v>50</v>
      </c>
      <c r="E10" s="7">
        <v>45</v>
      </c>
      <c r="F10" s="7">
        <f t="shared" si="10"/>
        <v>49</v>
      </c>
      <c r="G10" s="7">
        <f t="shared" si="11"/>
        <v>46</v>
      </c>
      <c r="H10" s="7">
        <f t="shared" si="12"/>
        <v>47</v>
      </c>
      <c r="I10" s="10">
        <f t="shared" si="13"/>
        <v>10</v>
      </c>
      <c r="J10" s="10">
        <f t="shared" si="14"/>
        <v>5</v>
      </c>
      <c r="K10" s="10">
        <f t="shared" si="15"/>
        <v>9</v>
      </c>
      <c r="L10" s="10">
        <f t="shared" si="16"/>
        <v>6</v>
      </c>
      <c r="M10" s="10">
        <f t="shared" si="17"/>
        <v>7</v>
      </c>
      <c r="N10" s="12">
        <f t="shared" si="18"/>
        <v>875</v>
      </c>
      <c r="O10" s="12">
        <f t="shared" si="19"/>
        <v>2250</v>
      </c>
      <c r="P10" s="12">
        <f t="shared" si="20"/>
        <v>2205</v>
      </c>
      <c r="Q10" s="12">
        <f t="shared" si="20"/>
        <v>2254</v>
      </c>
      <c r="R10" s="12">
        <f t="shared" si="20"/>
        <v>2162</v>
      </c>
      <c r="S10" s="14">
        <f t="shared" si="21"/>
        <v>87.5</v>
      </c>
      <c r="T10" s="14">
        <f t="shared" si="22"/>
        <v>43.75</v>
      </c>
      <c r="U10" s="14">
        <f t="shared" si="5"/>
        <v>78.75</v>
      </c>
      <c r="V10" s="14">
        <f t="shared" si="6"/>
        <v>52.5</v>
      </c>
      <c r="W10" s="14">
        <f t="shared" si="7"/>
        <v>61.25</v>
      </c>
      <c r="X10" s="16">
        <f t="shared" si="23"/>
        <v>962.5</v>
      </c>
      <c r="Y10" s="16">
        <f t="shared" si="8"/>
        <v>2293.75</v>
      </c>
      <c r="Z10" s="16">
        <f t="shared" si="8"/>
        <v>2283.75</v>
      </c>
      <c r="AA10" s="16">
        <f t="shared" si="8"/>
        <v>2306.5</v>
      </c>
      <c r="AB10" s="16">
        <f t="shared" si="8"/>
        <v>2223.25</v>
      </c>
      <c r="AC10" s="3">
        <f t="shared" si="9"/>
        <v>9778.2999999999993</v>
      </c>
    </row>
    <row r="11" spans="1:29" x14ac:dyDescent="0.2">
      <c r="A11" t="s">
        <v>17</v>
      </c>
      <c r="B11" t="s">
        <v>29</v>
      </c>
      <c r="C11" s="2">
        <v>14.7</v>
      </c>
      <c r="D11" s="7">
        <v>51</v>
      </c>
      <c r="E11" s="7">
        <v>44</v>
      </c>
      <c r="F11" s="7">
        <f t="shared" si="10"/>
        <v>50</v>
      </c>
      <c r="G11" s="7">
        <f t="shared" si="11"/>
        <v>45</v>
      </c>
      <c r="H11" s="7">
        <f t="shared" si="12"/>
        <v>46</v>
      </c>
      <c r="I11" s="10">
        <f t="shared" si="13"/>
        <v>11</v>
      </c>
      <c r="J11" s="10">
        <f t="shared" si="14"/>
        <v>4</v>
      </c>
      <c r="K11" s="10">
        <f t="shared" si="15"/>
        <v>10</v>
      </c>
      <c r="L11" s="10">
        <f t="shared" si="16"/>
        <v>5</v>
      </c>
      <c r="M11" s="10">
        <f t="shared" si="17"/>
        <v>6</v>
      </c>
      <c r="N11" s="12">
        <f t="shared" si="18"/>
        <v>749.69999999999993</v>
      </c>
      <c r="O11" s="12">
        <f t="shared" si="19"/>
        <v>2244</v>
      </c>
      <c r="P11" s="12">
        <f t="shared" si="20"/>
        <v>2200</v>
      </c>
      <c r="Q11" s="12">
        <f t="shared" si="20"/>
        <v>2250</v>
      </c>
      <c r="R11" s="12">
        <f t="shared" si="20"/>
        <v>2070</v>
      </c>
      <c r="S11" s="14">
        <f t="shared" si="21"/>
        <v>80.849999999999994</v>
      </c>
      <c r="T11" s="14">
        <f t="shared" si="22"/>
        <v>29.4</v>
      </c>
      <c r="U11" s="14">
        <f t="shared" si="5"/>
        <v>73.5</v>
      </c>
      <c r="V11" s="14">
        <f t="shared" si="6"/>
        <v>36.75</v>
      </c>
      <c r="W11" s="14">
        <f t="shared" si="7"/>
        <v>44.099999999999994</v>
      </c>
      <c r="X11" s="16">
        <f t="shared" si="23"/>
        <v>830.55</v>
      </c>
      <c r="Y11" s="16">
        <f t="shared" si="8"/>
        <v>2273.4</v>
      </c>
      <c r="Z11" s="16">
        <f t="shared" si="8"/>
        <v>2273.5</v>
      </c>
      <c r="AA11" s="16">
        <f t="shared" si="8"/>
        <v>2286.75</v>
      </c>
      <c r="AB11" s="16">
        <f t="shared" si="8"/>
        <v>2114.1</v>
      </c>
      <c r="AC11" s="3">
        <f t="shared" si="9"/>
        <v>8196.1500000000015</v>
      </c>
    </row>
    <row r="12" spans="1:29" x14ac:dyDescent="0.2">
      <c r="A12" t="s">
        <v>20</v>
      </c>
      <c r="B12" t="s">
        <v>30</v>
      </c>
      <c r="C12" s="2">
        <v>10.9</v>
      </c>
      <c r="D12" s="7">
        <v>44</v>
      </c>
      <c r="E12" s="7">
        <v>43</v>
      </c>
      <c r="F12" s="7">
        <f t="shared" si="10"/>
        <v>43</v>
      </c>
      <c r="G12" s="7">
        <f t="shared" si="11"/>
        <v>44</v>
      </c>
      <c r="H12" s="7">
        <f t="shared" si="12"/>
        <v>45</v>
      </c>
      <c r="I12" s="10">
        <f t="shared" si="13"/>
        <v>4</v>
      </c>
      <c r="J12" s="10">
        <f t="shared" si="14"/>
        <v>3</v>
      </c>
      <c r="K12" s="10">
        <f t="shared" si="15"/>
        <v>3</v>
      </c>
      <c r="L12" s="10">
        <f t="shared" si="16"/>
        <v>4</v>
      </c>
      <c r="M12" s="10">
        <f t="shared" si="17"/>
        <v>5</v>
      </c>
      <c r="N12" s="12">
        <f t="shared" si="18"/>
        <v>479.6</v>
      </c>
      <c r="O12" s="12">
        <f t="shared" si="19"/>
        <v>1892</v>
      </c>
      <c r="P12" s="12">
        <f t="shared" si="20"/>
        <v>1849</v>
      </c>
      <c r="Q12" s="12">
        <f t="shared" si="20"/>
        <v>1892</v>
      </c>
      <c r="R12" s="12">
        <f t="shared" si="20"/>
        <v>1980</v>
      </c>
      <c r="S12" s="14">
        <f t="shared" si="21"/>
        <v>21.8</v>
      </c>
      <c r="T12" s="14">
        <f t="shared" si="22"/>
        <v>16.350000000000001</v>
      </c>
      <c r="U12" s="14">
        <f t="shared" si="5"/>
        <v>16.350000000000001</v>
      </c>
      <c r="V12" s="14">
        <f t="shared" si="6"/>
        <v>21.8</v>
      </c>
      <c r="W12" s="14">
        <f t="shared" si="7"/>
        <v>27.25</v>
      </c>
      <c r="X12" s="16">
        <f t="shared" si="23"/>
        <v>501.40000000000003</v>
      </c>
      <c r="Y12" s="16">
        <f t="shared" si="8"/>
        <v>1908.35</v>
      </c>
      <c r="Z12" s="16">
        <f t="shared" si="8"/>
        <v>1865.35</v>
      </c>
      <c r="AA12" s="16">
        <f t="shared" si="8"/>
        <v>1913.8</v>
      </c>
      <c r="AB12" s="16">
        <f t="shared" si="8"/>
        <v>2007.25</v>
      </c>
      <c r="AC12" s="3">
        <f t="shared" si="9"/>
        <v>7833</v>
      </c>
    </row>
    <row r="13" spans="1:29" x14ac:dyDescent="0.2">
      <c r="A13" t="s">
        <v>43</v>
      </c>
      <c r="B13" t="s">
        <v>31</v>
      </c>
      <c r="C13" s="2">
        <v>11.3</v>
      </c>
      <c r="D13" s="7">
        <v>43</v>
      </c>
      <c r="E13" s="7">
        <v>42</v>
      </c>
      <c r="F13" s="7">
        <f t="shared" si="10"/>
        <v>42</v>
      </c>
      <c r="G13" s="7">
        <f t="shared" si="11"/>
        <v>43</v>
      </c>
      <c r="H13" s="7">
        <f t="shared" si="12"/>
        <v>44</v>
      </c>
      <c r="I13" s="10">
        <f t="shared" si="13"/>
        <v>3</v>
      </c>
      <c r="J13" s="10">
        <f t="shared" si="14"/>
        <v>2</v>
      </c>
      <c r="K13" s="10">
        <f t="shared" si="15"/>
        <v>2</v>
      </c>
      <c r="L13" s="10">
        <f t="shared" si="16"/>
        <v>3</v>
      </c>
      <c r="M13" s="10">
        <f t="shared" si="17"/>
        <v>4</v>
      </c>
      <c r="N13" s="12">
        <f t="shared" si="18"/>
        <v>485.90000000000003</v>
      </c>
      <c r="O13" s="12">
        <f t="shared" si="19"/>
        <v>1806</v>
      </c>
      <c r="P13" s="12">
        <f t="shared" si="20"/>
        <v>1764</v>
      </c>
      <c r="Q13" s="12">
        <f t="shared" si="20"/>
        <v>1806</v>
      </c>
      <c r="R13" s="12">
        <f t="shared" si="20"/>
        <v>1892</v>
      </c>
      <c r="S13" s="14">
        <f t="shared" si="21"/>
        <v>16.950000000000003</v>
      </c>
      <c r="T13" s="14">
        <f t="shared" si="22"/>
        <v>11.3</v>
      </c>
      <c r="U13" s="14">
        <f t="shared" si="5"/>
        <v>11.3</v>
      </c>
      <c r="V13" s="14">
        <f t="shared" si="6"/>
        <v>16.950000000000003</v>
      </c>
      <c r="W13" s="14">
        <f t="shared" si="7"/>
        <v>22.6</v>
      </c>
      <c r="X13" s="16">
        <f t="shared" si="23"/>
        <v>502.85</v>
      </c>
      <c r="Y13" s="16">
        <f t="shared" si="8"/>
        <v>1817.3</v>
      </c>
      <c r="Z13" s="16">
        <f t="shared" si="8"/>
        <v>1775.3</v>
      </c>
      <c r="AA13" s="16">
        <f t="shared" si="8"/>
        <v>1822.95</v>
      </c>
      <c r="AB13" s="16">
        <f t="shared" si="8"/>
        <v>1914.6</v>
      </c>
      <c r="AC13" s="3">
        <f t="shared" si="9"/>
        <v>7570.5999999999995</v>
      </c>
    </row>
    <row r="14" spans="1:29" x14ac:dyDescent="0.2">
      <c r="A14" t="s">
        <v>18</v>
      </c>
      <c r="B14" t="s">
        <v>32</v>
      </c>
      <c r="C14" s="2">
        <v>12.1</v>
      </c>
      <c r="D14" s="7">
        <v>41</v>
      </c>
      <c r="E14" s="7">
        <v>42</v>
      </c>
      <c r="F14" s="7">
        <f t="shared" si="10"/>
        <v>40</v>
      </c>
      <c r="G14" s="7">
        <f t="shared" si="11"/>
        <v>43</v>
      </c>
      <c r="H14" s="7">
        <f t="shared" si="12"/>
        <v>44</v>
      </c>
      <c r="I14" s="10">
        <f t="shared" si="13"/>
        <v>1</v>
      </c>
      <c r="J14" s="10">
        <f t="shared" si="14"/>
        <v>2</v>
      </c>
      <c r="K14" s="10">
        <f t="shared" si="15"/>
        <v>0</v>
      </c>
      <c r="L14" s="10">
        <f t="shared" si="16"/>
        <v>3</v>
      </c>
      <c r="M14" s="10">
        <f t="shared" si="17"/>
        <v>4</v>
      </c>
      <c r="N14" s="12">
        <f t="shared" si="18"/>
        <v>496.09999999999997</v>
      </c>
      <c r="O14" s="12">
        <f t="shared" si="19"/>
        <v>1722</v>
      </c>
      <c r="P14" s="12">
        <f t="shared" si="20"/>
        <v>1680</v>
      </c>
      <c r="Q14" s="12">
        <f t="shared" si="20"/>
        <v>1720</v>
      </c>
      <c r="R14" s="12">
        <f t="shared" si="20"/>
        <v>1892</v>
      </c>
      <c r="S14" s="14">
        <f t="shared" si="21"/>
        <v>6.05</v>
      </c>
      <c r="T14" s="14">
        <f t="shared" si="22"/>
        <v>12.1</v>
      </c>
      <c r="U14" s="14">
        <f t="shared" si="5"/>
        <v>0</v>
      </c>
      <c r="V14" s="14">
        <f t="shared" si="6"/>
        <v>18.149999999999999</v>
      </c>
      <c r="W14" s="14">
        <f t="shared" si="7"/>
        <v>24.2</v>
      </c>
      <c r="X14" s="16">
        <f t="shared" si="23"/>
        <v>502.15</v>
      </c>
      <c r="Y14" s="16">
        <f t="shared" si="8"/>
        <v>1734.1</v>
      </c>
      <c r="Z14" s="16">
        <f t="shared" si="8"/>
        <v>1680</v>
      </c>
      <c r="AA14" s="16">
        <f t="shared" si="8"/>
        <v>1738.15</v>
      </c>
      <c r="AB14" s="16">
        <f t="shared" si="8"/>
        <v>1916.2</v>
      </c>
      <c r="AC14" s="3">
        <f t="shared" si="9"/>
        <v>6902.7000000000007</v>
      </c>
    </row>
    <row r="15" spans="1:29" x14ac:dyDescent="0.2">
      <c r="A15" t="s">
        <v>19</v>
      </c>
      <c r="B15" t="s">
        <v>33</v>
      </c>
      <c r="C15" s="2">
        <v>13.4</v>
      </c>
      <c r="D15" s="7">
        <v>39</v>
      </c>
      <c r="E15" s="7">
        <v>40</v>
      </c>
      <c r="F15" s="7">
        <f t="shared" si="10"/>
        <v>38</v>
      </c>
      <c r="G15" s="7">
        <f t="shared" si="11"/>
        <v>41</v>
      </c>
      <c r="H15" s="7">
        <f t="shared" si="12"/>
        <v>42</v>
      </c>
      <c r="I15" s="10">
        <f t="shared" si="13"/>
        <v>0</v>
      </c>
      <c r="J15" s="10">
        <f t="shared" si="14"/>
        <v>0</v>
      </c>
      <c r="K15" s="10">
        <f t="shared" si="15"/>
        <v>0</v>
      </c>
      <c r="L15" s="10">
        <f t="shared" si="16"/>
        <v>1</v>
      </c>
      <c r="M15" s="10">
        <f t="shared" si="17"/>
        <v>2</v>
      </c>
      <c r="N15" s="12">
        <f t="shared" si="18"/>
        <v>522.6</v>
      </c>
      <c r="O15" s="12">
        <f t="shared" si="19"/>
        <v>1560</v>
      </c>
      <c r="P15" s="12">
        <f t="shared" si="20"/>
        <v>1520</v>
      </c>
      <c r="Q15" s="12">
        <f t="shared" si="20"/>
        <v>1558</v>
      </c>
      <c r="R15" s="12">
        <f t="shared" si="20"/>
        <v>1722</v>
      </c>
      <c r="S15" s="14">
        <f t="shared" si="21"/>
        <v>0</v>
      </c>
      <c r="T15" s="14">
        <f t="shared" si="22"/>
        <v>0</v>
      </c>
      <c r="U15" s="14">
        <f t="shared" si="5"/>
        <v>0</v>
      </c>
      <c r="V15" s="14">
        <f t="shared" si="6"/>
        <v>6.7</v>
      </c>
      <c r="W15" s="14">
        <f t="shared" si="7"/>
        <v>13.4</v>
      </c>
      <c r="X15" s="16">
        <f t="shared" si="23"/>
        <v>522.6</v>
      </c>
      <c r="Y15" s="16">
        <f t="shared" si="8"/>
        <v>1560</v>
      </c>
      <c r="Z15" s="16">
        <f t="shared" si="8"/>
        <v>1520</v>
      </c>
      <c r="AA15" s="16">
        <f t="shared" si="8"/>
        <v>1564.7</v>
      </c>
      <c r="AB15" s="16">
        <f t="shared" si="8"/>
        <v>1735.4</v>
      </c>
      <c r="AC15" s="3">
        <f t="shared" si="9"/>
        <v>7937.75</v>
      </c>
    </row>
    <row r="16" spans="1:29" x14ac:dyDescent="0.2">
      <c r="A16" t="s">
        <v>12</v>
      </c>
      <c r="B16" t="s">
        <v>34</v>
      </c>
      <c r="C16" s="2">
        <v>13.3</v>
      </c>
      <c r="D16" s="7">
        <v>37</v>
      </c>
      <c r="E16" s="7">
        <v>46</v>
      </c>
      <c r="F16" s="7">
        <f t="shared" si="10"/>
        <v>36</v>
      </c>
      <c r="G16" s="7">
        <f t="shared" si="11"/>
        <v>47</v>
      </c>
      <c r="H16" s="7">
        <f t="shared" si="12"/>
        <v>48</v>
      </c>
      <c r="I16" s="10">
        <f t="shared" si="13"/>
        <v>0</v>
      </c>
      <c r="J16" s="10">
        <f t="shared" si="14"/>
        <v>6</v>
      </c>
      <c r="K16" s="10">
        <f t="shared" si="15"/>
        <v>0</v>
      </c>
      <c r="L16" s="10">
        <f t="shared" si="16"/>
        <v>7</v>
      </c>
      <c r="M16" s="10">
        <f t="shared" si="17"/>
        <v>8</v>
      </c>
      <c r="N16" s="12">
        <f t="shared" si="18"/>
        <v>492.1</v>
      </c>
      <c r="O16" s="12">
        <f t="shared" si="19"/>
        <v>1702</v>
      </c>
      <c r="P16" s="12">
        <f t="shared" si="20"/>
        <v>1656</v>
      </c>
      <c r="Q16" s="12">
        <f t="shared" si="20"/>
        <v>1692</v>
      </c>
      <c r="R16" s="12">
        <f t="shared" si="20"/>
        <v>2256</v>
      </c>
      <c r="S16" s="14">
        <f t="shared" si="21"/>
        <v>0</v>
      </c>
      <c r="T16" s="14">
        <f t="shared" si="22"/>
        <v>39.900000000000006</v>
      </c>
      <c r="U16" s="14">
        <f t="shared" si="5"/>
        <v>0</v>
      </c>
      <c r="V16" s="14">
        <f t="shared" si="6"/>
        <v>46.550000000000004</v>
      </c>
      <c r="W16" s="14">
        <f t="shared" si="7"/>
        <v>53.2</v>
      </c>
      <c r="X16" s="16">
        <f t="shared" si="23"/>
        <v>492.1</v>
      </c>
      <c r="Y16" s="16">
        <f t="shared" si="8"/>
        <v>1741.9</v>
      </c>
      <c r="Z16" s="16">
        <f t="shared" si="8"/>
        <v>1656</v>
      </c>
      <c r="AA16" s="16">
        <f t="shared" si="8"/>
        <v>1738.55</v>
      </c>
      <c r="AB16" s="16">
        <f t="shared" si="8"/>
        <v>2309.1999999999998</v>
      </c>
      <c r="AC16" s="3">
        <f t="shared" si="9"/>
        <v>9926.6</v>
      </c>
    </row>
    <row r="17" spans="1:29" x14ac:dyDescent="0.2">
      <c r="A17" t="s">
        <v>8</v>
      </c>
      <c r="B17" t="s">
        <v>35</v>
      </c>
      <c r="C17" s="2">
        <v>15.2</v>
      </c>
      <c r="D17" s="7">
        <v>47</v>
      </c>
      <c r="E17" s="7">
        <v>47</v>
      </c>
      <c r="F17" s="7">
        <f t="shared" si="10"/>
        <v>46</v>
      </c>
      <c r="G17" s="7">
        <f t="shared" si="11"/>
        <v>48</v>
      </c>
      <c r="H17" s="7">
        <f t="shared" si="12"/>
        <v>49</v>
      </c>
      <c r="I17" s="10">
        <f t="shared" si="13"/>
        <v>7</v>
      </c>
      <c r="J17" s="10">
        <f t="shared" si="14"/>
        <v>7</v>
      </c>
      <c r="K17" s="10">
        <f t="shared" si="15"/>
        <v>6</v>
      </c>
      <c r="L17" s="10">
        <f t="shared" si="16"/>
        <v>8</v>
      </c>
      <c r="M17" s="10">
        <f t="shared" si="17"/>
        <v>9</v>
      </c>
      <c r="N17" s="12">
        <f t="shared" si="18"/>
        <v>714.4</v>
      </c>
      <c r="O17" s="12">
        <f t="shared" si="19"/>
        <v>2209</v>
      </c>
      <c r="P17" s="12">
        <f t="shared" si="20"/>
        <v>2162</v>
      </c>
      <c r="Q17" s="12">
        <f t="shared" si="20"/>
        <v>2208</v>
      </c>
      <c r="R17" s="12">
        <f t="shared" si="20"/>
        <v>2352</v>
      </c>
      <c r="S17" s="14">
        <f t="shared" si="21"/>
        <v>53.199999999999996</v>
      </c>
      <c r="T17" s="14">
        <f t="shared" si="22"/>
        <v>53.199999999999996</v>
      </c>
      <c r="U17" s="14">
        <f t="shared" si="5"/>
        <v>45.599999999999994</v>
      </c>
      <c r="V17" s="14">
        <f t="shared" si="6"/>
        <v>60.8</v>
      </c>
      <c r="W17" s="14">
        <f t="shared" si="7"/>
        <v>68.399999999999991</v>
      </c>
      <c r="X17" s="16">
        <f t="shared" si="23"/>
        <v>767.6</v>
      </c>
      <c r="Y17" s="16">
        <f t="shared" si="8"/>
        <v>2262.1999999999998</v>
      </c>
      <c r="Z17" s="16">
        <f t="shared" si="8"/>
        <v>2207.6</v>
      </c>
      <c r="AA17" s="16">
        <f t="shared" si="8"/>
        <v>2268.8000000000002</v>
      </c>
      <c r="AB17" s="16">
        <f t="shared" si="8"/>
        <v>2420.4</v>
      </c>
      <c r="AC17" s="3">
        <f t="shared" si="9"/>
        <v>11804.25</v>
      </c>
    </row>
    <row r="18" spans="1:29" x14ac:dyDescent="0.2">
      <c r="A18" t="s">
        <v>10</v>
      </c>
      <c r="B18" t="s">
        <v>36</v>
      </c>
      <c r="C18" s="2">
        <v>16.5</v>
      </c>
      <c r="D18" s="7">
        <v>54</v>
      </c>
      <c r="E18" s="7">
        <v>49</v>
      </c>
      <c r="F18" s="7">
        <f t="shared" si="10"/>
        <v>53</v>
      </c>
      <c r="G18" s="7">
        <f t="shared" si="11"/>
        <v>50</v>
      </c>
      <c r="H18" s="7">
        <f t="shared" si="12"/>
        <v>51</v>
      </c>
      <c r="I18" s="10">
        <f t="shared" si="13"/>
        <v>14</v>
      </c>
      <c r="J18" s="10">
        <f t="shared" si="14"/>
        <v>9</v>
      </c>
      <c r="K18" s="10">
        <f t="shared" si="15"/>
        <v>13</v>
      </c>
      <c r="L18" s="10">
        <f t="shared" si="16"/>
        <v>10</v>
      </c>
      <c r="M18" s="10">
        <f t="shared" si="17"/>
        <v>11</v>
      </c>
      <c r="N18" s="12">
        <f t="shared" si="18"/>
        <v>891</v>
      </c>
      <c r="O18" s="12">
        <f t="shared" si="19"/>
        <v>2646</v>
      </c>
      <c r="P18" s="12">
        <f t="shared" si="20"/>
        <v>2597</v>
      </c>
      <c r="Q18" s="12">
        <f t="shared" si="20"/>
        <v>2650</v>
      </c>
      <c r="R18" s="12">
        <f t="shared" si="20"/>
        <v>2550</v>
      </c>
      <c r="S18" s="14">
        <f t="shared" si="21"/>
        <v>115.5</v>
      </c>
      <c r="T18" s="14">
        <f t="shared" si="22"/>
        <v>74.25</v>
      </c>
      <c r="U18" s="14">
        <f t="shared" si="5"/>
        <v>107.25</v>
      </c>
      <c r="V18" s="14">
        <f t="shared" si="6"/>
        <v>82.5</v>
      </c>
      <c r="W18" s="14">
        <f t="shared" si="7"/>
        <v>90.75</v>
      </c>
      <c r="X18" s="16">
        <f t="shared" si="23"/>
        <v>1006.5</v>
      </c>
      <c r="Y18" s="16">
        <f t="shared" si="8"/>
        <v>2720.25</v>
      </c>
      <c r="Z18" s="16">
        <f t="shared" si="8"/>
        <v>2704.25</v>
      </c>
      <c r="AA18" s="16">
        <f t="shared" si="8"/>
        <v>2732.5</v>
      </c>
      <c r="AB18" s="16">
        <f t="shared" si="8"/>
        <v>2640.75</v>
      </c>
      <c r="AC18" s="3">
        <f t="shared" si="9"/>
        <v>12670.199999999999</v>
      </c>
    </row>
    <row r="19" spans="1:29" x14ac:dyDescent="0.2">
      <c r="A19" t="s">
        <v>15</v>
      </c>
      <c r="B19" t="s">
        <v>37</v>
      </c>
      <c r="C19" s="2">
        <v>18.899999999999999</v>
      </c>
      <c r="D19" s="7">
        <v>56</v>
      </c>
      <c r="E19" s="7">
        <v>50</v>
      </c>
      <c r="F19" s="7">
        <f t="shared" si="10"/>
        <v>55</v>
      </c>
      <c r="G19" s="7">
        <f t="shared" si="11"/>
        <v>51</v>
      </c>
      <c r="H19" s="7">
        <f t="shared" si="12"/>
        <v>52</v>
      </c>
      <c r="I19" s="10">
        <f t="shared" si="13"/>
        <v>16</v>
      </c>
      <c r="J19" s="10">
        <f t="shared" si="14"/>
        <v>10</v>
      </c>
      <c r="K19" s="10">
        <f t="shared" si="15"/>
        <v>15</v>
      </c>
      <c r="L19" s="10">
        <f t="shared" si="16"/>
        <v>11</v>
      </c>
      <c r="M19" s="10">
        <f t="shared" si="17"/>
        <v>12</v>
      </c>
      <c r="N19" s="12">
        <f t="shared" si="18"/>
        <v>1058.3999999999999</v>
      </c>
      <c r="O19" s="12">
        <f t="shared" si="19"/>
        <v>2800</v>
      </c>
      <c r="P19" s="12">
        <f t="shared" si="20"/>
        <v>2750</v>
      </c>
      <c r="Q19" s="12">
        <f t="shared" si="20"/>
        <v>2805</v>
      </c>
      <c r="R19" s="12">
        <f t="shared" si="20"/>
        <v>2652</v>
      </c>
      <c r="S19" s="14">
        <f t="shared" si="21"/>
        <v>151.19999999999999</v>
      </c>
      <c r="T19" s="14">
        <f t="shared" si="22"/>
        <v>94.5</v>
      </c>
      <c r="U19" s="14">
        <f t="shared" si="5"/>
        <v>141.75</v>
      </c>
      <c r="V19" s="14">
        <f t="shared" si="6"/>
        <v>103.94999999999999</v>
      </c>
      <c r="W19" s="14">
        <f t="shared" si="7"/>
        <v>113.39999999999999</v>
      </c>
      <c r="X19" s="16">
        <f t="shared" si="23"/>
        <v>1209.5999999999999</v>
      </c>
      <c r="Y19" s="16">
        <f t="shared" si="8"/>
        <v>2894.5</v>
      </c>
      <c r="Z19" s="16">
        <f t="shared" si="8"/>
        <v>2891.75</v>
      </c>
      <c r="AA19" s="16">
        <f t="shared" si="8"/>
        <v>2908.95</v>
      </c>
      <c r="AB19" s="16">
        <f t="shared" si="8"/>
        <v>2765.4</v>
      </c>
      <c r="AC19" s="3">
        <f t="shared" si="9"/>
        <v>11054.849999999999</v>
      </c>
    </row>
    <row r="20" spans="1:29" x14ac:dyDescent="0.2">
      <c r="A20" t="s">
        <v>13</v>
      </c>
      <c r="B20" t="s">
        <v>38</v>
      </c>
      <c r="C20" s="2">
        <v>19.899999999999999</v>
      </c>
      <c r="D20" s="7">
        <v>58</v>
      </c>
      <c r="E20" s="7">
        <v>43</v>
      </c>
      <c r="F20" s="7">
        <f t="shared" si="10"/>
        <v>57</v>
      </c>
      <c r="G20" s="7">
        <f t="shared" si="11"/>
        <v>44</v>
      </c>
      <c r="H20" s="7">
        <f t="shared" si="12"/>
        <v>45</v>
      </c>
      <c r="I20" s="10">
        <f t="shared" si="13"/>
        <v>18</v>
      </c>
      <c r="J20" s="10">
        <f t="shared" si="14"/>
        <v>3</v>
      </c>
      <c r="K20" s="10">
        <f t="shared" si="15"/>
        <v>17</v>
      </c>
      <c r="L20" s="10">
        <f t="shared" si="16"/>
        <v>4</v>
      </c>
      <c r="M20" s="10">
        <f t="shared" si="17"/>
        <v>5</v>
      </c>
      <c r="N20" s="12">
        <f t="shared" si="18"/>
        <v>1154.1999999999998</v>
      </c>
      <c r="O20" s="12">
        <f t="shared" si="19"/>
        <v>2494</v>
      </c>
      <c r="P20" s="12">
        <f t="shared" si="20"/>
        <v>2451</v>
      </c>
      <c r="Q20" s="12">
        <f t="shared" si="20"/>
        <v>2508</v>
      </c>
      <c r="R20" s="12">
        <f t="shared" si="20"/>
        <v>1980</v>
      </c>
      <c r="S20" s="14">
        <f t="shared" si="21"/>
        <v>179.1</v>
      </c>
      <c r="T20" s="14">
        <f t="shared" si="22"/>
        <v>29.849999999999998</v>
      </c>
      <c r="U20" s="14">
        <f t="shared" si="5"/>
        <v>169.14999999999998</v>
      </c>
      <c r="V20" s="14">
        <f t="shared" si="6"/>
        <v>39.799999999999997</v>
      </c>
      <c r="W20" s="14">
        <f t="shared" si="7"/>
        <v>49.75</v>
      </c>
      <c r="X20" s="16">
        <f t="shared" si="23"/>
        <v>1333.2999999999997</v>
      </c>
      <c r="Y20" s="16">
        <f t="shared" ref="Y20" si="24">O20+T20</f>
        <v>2523.85</v>
      </c>
      <c r="Z20" s="16">
        <f t="shared" ref="Z20" si="25">P20+U20</f>
        <v>2620.15</v>
      </c>
      <c r="AA20" s="16">
        <f t="shared" ref="AA20" si="26">Q20+V20</f>
        <v>2547.8000000000002</v>
      </c>
      <c r="AB20" s="16">
        <f t="shared" ref="AB20" si="27">R20+W20</f>
        <v>2029.75</v>
      </c>
      <c r="AC20" s="3">
        <f t="shared" si="9"/>
        <v>0</v>
      </c>
    </row>
    <row r="21" spans="1:29" x14ac:dyDescent="0.2">
      <c r="N21" s="3"/>
      <c r="O21" s="3"/>
      <c r="P21" s="3"/>
      <c r="Q21" s="3"/>
      <c r="R21" s="3"/>
    </row>
    <row r="22" spans="1:29" x14ac:dyDescent="0.2">
      <c r="M22">
        <v>2</v>
      </c>
      <c r="N22" s="3"/>
      <c r="O22" s="3"/>
      <c r="P22" s="3"/>
      <c r="Q22" s="3"/>
      <c r="R22" s="3"/>
    </row>
    <row r="23" spans="1:29" x14ac:dyDescent="0.2">
      <c r="N23" s="3"/>
      <c r="O23" s="3"/>
      <c r="P23" s="3"/>
      <c r="Q23" s="3"/>
      <c r="R23" s="3"/>
    </row>
    <row r="24" spans="1:29" x14ac:dyDescent="0.2">
      <c r="N24" s="3"/>
      <c r="O24" s="3"/>
      <c r="P24" s="3"/>
      <c r="Q24" s="3"/>
      <c r="R24" s="3"/>
    </row>
    <row r="25" spans="1:29" x14ac:dyDescent="0.2">
      <c r="A25" t="s">
        <v>39</v>
      </c>
      <c r="C25" s="3">
        <f>MAX(C4:C20)</f>
        <v>22.1</v>
      </c>
      <c r="D25">
        <f>MAX(D4:D20)</f>
        <v>58</v>
      </c>
      <c r="E25">
        <f t="shared" ref="E25:F25" si="28">MAX(E4:E20)</f>
        <v>50</v>
      </c>
      <c r="F25">
        <f t="shared" si="28"/>
        <v>57</v>
      </c>
      <c r="G25">
        <f>MAX(G4:G20)</f>
        <v>51</v>
      </c>
      <c r="H25">
        <f t="shared" ref="H25" si="29">MAX(H4:H20)</f>
        <v>52</v>
      </c>
      <c r="I25" s="5">
        <f>MAX(I4:I20)</f>
        <v>18</v>
      </c>
      <c r="J25" s="5">
        <f t="shared" ref="J25:M25" si="30">MAX(J4:J20)</f>
        <v>10</v>
      </c>
      <c r="K25" s="5">
        <f t="shared" si="30"/>
        <v>17</v>
      </c>
      <c r="L25" s="5">
        <f t="shared" si="30"/>
        <v>11</v>
      </c>
      <c r="M25" s="5">
        <f t="shared" si="30"/>
        <v>12</v>
      </c>
      <c r="N25" s="3">
        <f>MAX(N4:N20)</f>
        <v>1154.1999999999998</v>
      </c>
      <c r="O25" s="3">
        <f t="shared" ref="O25:R25" si="31">MAX(O4:O20)</f>
        <v>2800</v>
      </c>
      <c r="P25" s="3">
        <f t="shared" si="31"/>
        <v>2750</v>
      </c>
      <c r="Q25" s="3">
        <f t="shared" si="31"/>
        <v>2805</v>
      </c>
      <c r="R25" s="3">
        <f t="shared" si="31"/>
        <v>2652</v>
      </c>
      <c r="S25" s="3">
        <f t="shared" ref="S25:X25" si="32">MAX(S4:S20)</f>
        <v>179.1</v>
      </c>
      <c r="T25" s="3">
        <f t="shared" ref="T25:W25" si="33">MAX(T4:T20)</f>
        <v>94.5</v>
      </c>
      <c r="U25" s="3">
        <f t="shared" si="33"/>
        <v>169.14999999999998</v>
      </c>
      <c r="V25" s="3">
        <f t="shared" si="33"/>
        <v>103.94999999999999</v>
      </c>
      <c r="W25" s="3">
        <f t="shared" si="33"/>
        <v>113.39999999999999</v>
      </c>
      <c r="X25" s="3">
        <f t="shared" si="32"/>
        <v>1333.2999999999997</v>
      </c>
      <c r="Y25" s="3">
        <f t="shared" ref="Y25:AB25" si="34">MAX(Y4:Y20)</f>
        <v>2894.5</v>
      </c>
      <c r="Z25" s="3">
        <f t="shared" si="34"/>
        <v>2891.75</v>
      </c>
      <c r="AA25" s="3">
        <f t="shared" si="34"/>
        <v>2908.95</v>
      </c>
      <c r="AB25" s="3">
        <f t="shared" si="34"/>
        <v>2765.4</v>
      </c>
      <c r="AC25" s="3">
        <f>MAX(AC3:AC20)</f>
        <v>12670.199999999999</v>
      </c>
    </row>
    <row r="26" spans="1:29" x14ac:dyDescent="0.2">
      <c r="A26" t="s">
        <v>40</v>
      </c>
      <c r="C26" s="3">
        <f>MIN(C4:C21)</f>
        <v>6.9</v>
      </c>
      <c r="D26">
        <f>MIN(D4:D20)</f>
        <v>37</v>
      </c>
      <c r="E26">
        <f t="shared" ref="E26:F26" si="35">MIN(E4:E20)</f>
        <v>38</v>
      </c>
      <c r="F26">
        <f t="shared" si="35"/>
        <v>36</v>
      </c>
      <c r="G26">
        <f>MIN(G4:G20)</f>
        <v>39</v>
      </c>
      <c r="H26">
        <f t="shared" ref="H26" si="36">MIN(H4:H20)</f>
        <v>40</v>
      </c>
      <c r="I26" s="5">
        <f>MIN(I4:I20)</f>
        <v>0</v>
      </c>
      <c r="J26" s="5">
        <f t="shared" ref="J26:M26" si="37">MIN(J4:J20)</f>
        <v>0</v>
      </c>
      <c r="K26" s="5">
        <f t="shared" si="37"/>
        <v>0</v>
      </c>
      <c r="L26" s="5">
        <f t="shared" si="37"/>
        <v>0</v>
      </c>
      <c r="M26" s="5">
        <f t="shared" si="37"/>
        <v>0</v>
      </c>
      <c r="N26" s="3">
        <f>MIN(N4:N21)</f>
        <v>269.10000000000002</v>
      </c>
      <c r="O26" s="3">
        <f t="shared" ref="O26:R26" si="38">MIN(O4:O21)</f>
        <v>636</v>
      </c>
      <c r="P26" s="3">
        <f t="shared" si="38"/>
        <v>636</v>
      </c>
      <c r="Q26" s="3">
        <f t="shared" si="38"/>
        <v>651.9</v>
      </c>
      <c r="R26" s="3">
        <f t="shared" si="38"/>
        <v>667.80000000000007</v>
      </c>
      <c r="S26" s="3">
        <f t="shared" ref="S26:X26" si="39">MIN(S4:S21)</f>
        <v>0</v>
      </c>
      <c r="T26" s="3">
        <f t="shared" ref="T26:W26" si="40">MIN(T4:T21)</f>
        <v>0</v>
      </c>
      <c r="U26" s="3">
        <f t="shared" si="40"/>
        <v>0</v>
      </c>
      <c r="V26" s="3">
        <f t="shared" si="40"/>
        <v>0</v>
      </c>
      <c r="W26" s="3">
        <f t="shared" si="40"/>
        <v>0</v>
      </c>
      <c r="X26" s="3">
        <f t="shared" si="39"/>
        <v>269.10000000000002</v>
      </c>
      <c r="Y26" s="3">
        <f t="shared" ref="Y26:AB26" si="41">MIN(Y4:Y21)</f>
        <v>643.95000000000005</v>
      </c>
      <c r="Z26" s="3">
        <f t="shared" si="41"/>
        <v>643.95000000000005</v>
      </c>
      <c r="AA26" s="3">
        <f t="shared" si="41"/>
        <v>659.85</v>
      </c>
      <c r="AB26" s="3">
        <f t="shared" si="41"/>
        <v>675.75000000000011</v>
      </c>
      <c r="AC26" s="3">
        <f>MIN(AC3:AC20)</f>
        <v>0</v>
      </c>
    </row>
    <row r="27" spans="1:29" x14ac:dyDescent="0.2">
      <c r="A27" t="s">
        <v>41</v>
      </c>
      <c r="C27" s="3">
        <f>AVERAGE(C6:C22)</f>
        <v>15.066666666666668</v>
      </c>
      <c r="D27" s="4">
        <f>AVERAGE(D4:D20)</f>
        <v>46.294117647058826</v>
      </c>
      <c r="E27" s="4">
        <f t="shared" ref="E27:F27" si="42">AVERAGE(E4:E20)</f>
        <v>43.470588235294116</v>
      </c>
      <c r="F27" s="4">
        <f t="shared" si="42"/>
        <v>45.294117647058826</v>
      </c>
      <c r="G27" s="4">
        <f>AVERAGE(G4:G20)</f>
        <v>44.470588235294116</v>
      </c>
      <c r="H27" s="4">
        <f t="shared" ref="H27" si="43">AVERAGE(H4:H20)</f>
        <v>45.470588235294116</v>
      </c>
      <c r="I27" s="4">
        <f>AVERAGE(I4:I20)</f>
        <v>6.5882352941176467</v>
      </c>
      <c r="J27" s="4">
        <f t="shared" ref="J27:M27" si="44">AVERAGE(J4:J20)</f>
        <v>3.7058823529411766</v>
      </c>
      <c r="K27" s="4">
        <f t="shared" si="44"/>
        <v>5.8235294117647056</v>
      </c>
      <c r="L27" s="4">
        <f t="shared" si="44"/>
        <v>4.5294117647058822</v>
      </c>
      <c r="M27" s="4">
        <f t="shared" si="44"/>
        <v>5.4117647058823533</v>
      </c>
      <c r="N27" s="3">
        <f>AVERAGE(N6:N22)</f>
        <v>722.33999999999992</v>
      </c>
      <c r="O27" s="3">
        <f t="shared" ref="O27:R27" si="45">AVERAGE(O6:O22)</f>
        <v>2066.8000000000002</v>
      </c>
      <c r="P27" s="3">
        <f t="shared" si="45"/>
        <v>2022.9333333333334</v>
      </c>
      <c r="Q27" s="3">
        <f t="shared" si="45"/>
        <v>2068.8666666666668</v>
      </c>
      <c r="R27" s="3">
        <f t="shared" si="45"/>
        <v>2069.3333333333335</v>
      </c>
      <c r="S27" s="3">
        <f t="shared" ref="S27:X27" si="46">AVERAGE(S6:S22)</f>
        <v>61.843333333333334</v>
      </c>
      <c r="T27" s="3">
        <f t="shared" ref="T27:W27" si="47">AVERAGE(T6:T22)</f>
        <v>34.04</v>
      </c>
      <c r="U27" s="3">
        <f t="shared" si="47"/>
        <v>55.43</v>
      </c>
      <c r="V27" s="3">
        <f t="shared" si="47"/>
        <v>40.869999999999997</v>
      </c>
      <c r="W27" s="3">
        <f t="shared" si="47"/>
        <v>47.929999999999993</v>
      </c>
      <c r="X27" s="3">
        <f t="shared" si="46"/>
        <v>784.18333333333328</v>
      </c>
      <c r="Y27" s="3">
        <f t="shared" ref="Y27:AB27" si="48">AVERAGE(Y6:Y22)</f>
        <v>2100.8399999999997</v>
      </c>
      <c r="Z27" s="3">
        <f t="shared" si="48"/>
        <v>2078.3633333333332</v>
      </c>
      <c r="AA27" s="3">
        <f t="shared" si="48"/>
        <v>2109.7366666666667</v>
      </c>
      <c r="AB27" s="3">
        <f t="shared" si="48"/>
        <v>2117.2633333333338</v>
      </c>
      <c r="AC27" s="3">
        <f>AVERAGE(AC3:AC20)</f>
        <v>8251.9527777777785</v>
      </c>
    </row>
    <row r="28" spans="1:29" x14ac:dyDescent="0.2">
      <c r="A28" t="s">
        <v>42</v>
      </c>
      <c r="C28" s="3">
        <f>SUM(C4:C20)</f>
        <v>251.90000000000003</v>
      </c>
      <c r="D28">
        <f>SUM(D4:D20)</f>
        <v>787</v>
      </c>
      <c r="E28">
        <f t="shared" ref="E28:F28" si="49">SUM(E4:E20)</f>
        <v>739</v>
      </c>
      <c r="F28">
        <f t="shared" si="49"/>
        <v>770</v>
      </c>
      <c r="G28">
        <f>SUM(G4:G20)</f>
        <v>756</v>
      </c>
      <c r="H28">
        <f t="shared" ref="H28" si="50">SUM(H4:H20)</f>
        <v>773</v>
      </c>
      <c r="I28" s="5">
        <f>SUM(I4:I20)</f>
        <v>112</v>
      </c>
      <c r="J28" s="5">
        <f t="shared" ref="J28:M28" si="51">SUM(J4:J20)</f>
        <v>63</v>
      </c>
      <c r="K28" s="5">
        <f t="shared" si="51"/>
        <v>99</v>
      </c>
      <c r="L28" s="5">
        <f t="shared" si="51"/>
        <v>77</v>
      </c>
      <c r="M28" s="5">
        <f t="shared" si="51"/>
        <v>92</v>
      </c>
      <c r="N28" s="3">
        <f t="shared" ref="N28:X28" si="52">SUM(N4:N20)</f>
        <v>11907</v>
      </c>
      <c r="O28" s="3">
        <f t="shared" ref="O28:R28" si="53">SUM(O4:O20)</f>
        <v>33360</v>
      </c>
      <c r="P28" s="3">
        <f t="shared" si="53"/>
        <v>32661</v>
      </c>
      <c r="Q28" s="3">
        <f t="shared" si="53"/>
        <v>33406.9</v>
      </c>
      <c r="R28" s="3">
        <f t="shared" si="53"/>
        <v>33513.800000000003</v>
      </c>
      <c r="S28" s="3">
        <f t="shared" si="52"/>
        <v>945.6</v>
      </c>
      <c r="T28" s="3">
        <f t="shared" ref="T28:W28" si="54">SUM(T4:T20)</f>
        <v>523.54999999999995</v>
      </c>
      <c r="U28" s="3">
        <f t="shared" si="54"/>
        <v>844.4</v>
      </c>
      <c r="V28" s="3">
        <f t="shared" si="54"/>
        <v>631</v>
      </c>
      <c r="W28" s="3">
        <f t="shared" si="54"/>
        <v>741.9</v>
      </c>
      <c r="X28" s="3">
        <f t="shared" si="52"/>
        <v>12852.6</v>
      </c>
      <c r="Y28" s="3">
        <f t="shared" ref="Y28:AB28" si="55">SUM(Y4:Y20)</f>
        <v>33883.549999999996</v>
      </c>
      <c r="Z28" s="3">
        <f t="shared" si="55"/>
        <v>33505.399999999994</v>
      </c>
      <c r="AA28" s="3">
        <f t="shared" si="55"/>
        <v>34037.9</v>
      </c>
      <c r="AB28" s="3">
        <f t="shared" si="55"/>
        <v>34255.700000000004</v>
      </c>
      <c r="AC28" s="3">
        <f>SUM(AC3:AC20)</f>
        <v>148535.15000000002</v>
      </c>
    </row>
  </sheetData>
  <sortState xmlns:xlrd2="http://schemas.microsoft.com/office/spreadsheetml/2017/richdata2" ref="A3:A20">
    <sortCondition ref="A3:A20"/>
  </sortState>
  <conditionalFormatting sqref="C3:C20">
    <cfRule type="iconSet" priority="1">
      <iconSet iconSet="4TrafficLights">
        <cfvo type="percent" val="0"/>
        <cfvo type="percent" val="25"/>
        <cfvo type="percent" val="50"/>
        <cfvo type="percent" val="75"/>
      </iconSet>
    </cfRule>
  </conditionalFormatting>
  <pageMargins left="0.7" right="0.7" top="0.75" bottom="0.75" header="0.3" footer="0.3"/>
  <pageSetup paperSize="9" orientation="landscape" horizontalDpi="0" verticalDpi="0"/>
</worksheet>
</file>

<file path=docMetadata/LabelInfo.xml><?xml version="1.0" encoding="utf-8"?>
<clbl:labelList xmlns:clbl="http://schemas.microsoft.com/office/2020/mipLabelMetadata">
  <clbl:label id="{c98a79ca-5a9a-4791-a243-f06afd67464d}" enabled="0" method="" siteId="{c98a79ca-5a9a-4791-a243-f06afd67464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Claire YOW Ching Ee</dc:creator>
  <cp:lastModifiedBy>Claire YOW Ching Ee</cp:lastModifiedBy>
  <dcterms:created xsi:type="dcterms:W3CDTF">2026-05-19T06:42:38Z</dcterms:created>
  <dcterms:modified xsi:type="dcterms:W3CDTF">2026-07-08T16:47:18Z</dcterms:modified>
</cp:coreProperties>
</file>